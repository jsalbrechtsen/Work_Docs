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"/>
    </mc:Choice>
  </mc:AlternateContent>
  <xr:revisionPtr revIDLastSave="0" documentId="13_ncr:1_{621A8173-D55E-418B-A494-301AF4DE78B4}" xr6:coauthVersionLast="47" xr6:coauthVersionMax="47" xr10:uidLastSave="{00000000-0000-0000-0000-000000000000}"/>
  <bookViews>
    <workbookView xWindow="30612" yWindow="-108" windowWidth="23256" windowHeight="13896" activeTab="1" xr2:uid="{5DED911F-8B02-4FAC-8AB9-2789E08CC6FF}"/>
  </bookViews>
  <sheets>
    <sheet name="DataCamp" sheetId="3" r:id="rId1"/>
    <sheet name="Calenda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5" l="1"/>
  <c r="L4" i="5" s="1"/>
  <c r="L5" i="5" s="1"/>
  <c r="L6" i="5" s="1"/>
  <c r="L7" i="5" s="1"/>
  <c r="L8" i="5" s="1"/>
  <c r="L9" i="5" s="1"/>
  <c r="L10" i="5" s="1"/>
  <c r="L11" i="5" s="1"/>
  <c r="L12" i="5" s="1"/>
  <c r="J3" i="5"/>
  <c r="J4" i="5" s="1"/>
  <c r="J5" i="5" s="1"/>
  <c r="J6" i="5" s="1"/>
  <c r="J7" i="5" s="1"/>
  <c r="J8" i="5" s="1"/>
  <c r="J9" i="5" s="1"/>
  <c r="J10" i="5" s="1"/>
  <c r="J11" i="5" s="1"/>
  <c r="J12" i="5" s="1"/>
  <c r="I3" i="5"/>
  <c r="I4" i="5" s="1"/>
  <c r="I5" i="5" s="1"/>
  <c r="I6" i="5" s="1"/>
  <c r="I7" i="5" s="1"/>
  <c r="I8" i="5" s="1"/>
  <c r="I9" i="5" s="1"/>
  <c r="I10" i="5" s="1"/>
  <c r="I11" i="5" s="1"/>
  <c r="D18" i="5"/>
  <c r="D14" i="5"/>
  <c r="D2" i="5" l="1"/>
  <c r="C19" i="5"/>
  <c r="C15" i="5"/>
  <c r="D15" i="5" s="1"/>
  <c r="D19" i="5" l="1"/>
  <c r="C20" i="5" s="1"/>
  <c r="D20" i="5" s="1"/>
  <c r="C16" i="5"/>
  <c r="D16" i="5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G2" i="3"/>
  <c r="G3" i="3"/>
  <c r="G7" i="3"/>
  <c r="G8" i="3"/>
  <c r="G5" i="3"/>
  <c r="G4" i="3"/>
  <c r="G6" i="3"/>
  <c r="G10" i="3"/>
  <c r="G9" i="3"/>
  <c r="G11" i="3"/>
  <c r="C3" i="5" l="1"/>
  <c r="D3" i="5" s="1"/>
  <c r="C4" i="5" l="1"/>
  <c r="D4" i="5" s="1"/>
  <c r="D6" i="5" l="1"/>
  <c r="C7" i="5" s="1"/>
  <c r="D7" i="5" l="1"/>
  <c r="C8" i="5" s="1"/>
  <c r="D8" i="5" s="1"/>
  <c r="C9" i="5" s="1"/>
  <c r="C11" i="5" l="1"/>
  <c r="D11" i="5" l="1"/>
  <c r="C12" i="5" s="1"/>
  <c r="D12" i="5" s="1"/>
</calcChain>
</file>

<file path=xl/sharedStrings.xml><?xml version="1.0" encoding="utf-8"?>
<sst xmlns="http://schemas.openxmlformats.org/spreadsheetml/2006/main" count="94" uniqueCount="62">
  <si>
    <t>Prerequisites</t>
  </si>
  <si>
    <t>Course</t>
  </si>
  <si>
    <t>Python Programming</t>
  </si>
  <si>
    <t>Python Developer</t>
  </si>
  <si>
    <t>Git Fundamentals</t>
  </si>
  <si>
    <t>GitHub Foundations</t>
  </si>
  <si>
    <t>SUM</t>
  </si>
  <si>
    <t>Chapters</t>
  </si>
  <si>
    <t>Videos</t>
  </si>
  <si>
    <t>Writing Functions in Python
Software Engineering Principles in Python</t>
  </si>
  <si>
    <t>Introduction to Testing in Python</t>
  </si>
  <si>
    <t>Data Types in Python
Python Toolbox</t>
  </si>
  <si>
    <t>Writing Efficient Python Code</t>
  </si>
  <si>
    <t>Introduction to Shell
Writing Functions in Python</t>
  </si>
  <si>
    <t>Developing Python Packages</t>
  </si>
  <si>
    <t>Introduction to OOP in Python</t>
  </si>
  <si>
    <t>Intermediate OOP in Python</t>
  </si>
  <si>
    <t>Data Structures and Algorithms in Python</t>
  </si>
  <si>
    <t>NA</t>
  </si>
  <si>
    <t>Introduction to Git</t>
  </si>
  <si>
    <t>Intermediate Git</t>
  </si>
  <si>
    <t>Advanced Git</t>
  </si>
  <si>
    <t>Introduction to GitHub Concepts</t>
  </si>
  <si>
    <t>Intermediate GitHub Concepts</t>
  </si>
  <si>
    <t>WEEK</t>
  </si>
  <si>
    <t>DATE</t>
  </si>
  <si>
    <t>DATACAMP</t>
  </si>
  <si>
    <t>SPANISH</t>
  </si>
  <si>
    <t>CLAUDE CHEAT SHEETS</t>
  </si>
  <si>
    <t>ITALIAN</t>
  </si>
  <si>
    <t>NOTES</t>
  </si>
  <si>
    <t>Christmas is on FRI</t>
  </si>
  <si>
    <t>New Year's Day is on FRI</t>
  </si>
  <si>
    <t>OFF on MON, lift TUE &amp; FRI</t>
  </si>
  <si>
    <t>Thanksgiving</t>
  </si>
  <si>
    <t>Ski Trip</t>
  </si>
  <si>
    <t>Sweet 16</t>
  </si>
  <si>
    <t>Round of 76</t>
  </si>
  <si>
    <t>Elite 8</t>
  </si>
  <si>
    <t>Championship</t>
  </si>
  <si>
    <t>Intro to Testing</t>
  </si>
  <si>
    <t>START</t>
  </si>
  <si>
    <t>STOP</t>
  </si>
  <si>
    <t>Intro to Shell</t>
  </si>
  <si>
    <t>Working with Open AI API</t>
  </si>
  <si>
    <t>Working with Dates &amp; Times</t>
  </si>
  <si>
    <t>Web Scraping in Python</t>
  </si>
  <si>
    <t>Unsupervised Learning in Python</t>
  </si>
  <si>
    <t>Sentiment Analysis in Python</t>
  </si>
  <si>
    <t>RegEx in Python</t>
  </si>
  <si>
    <t>Python Toolbox</t>
  </si>
  <si>
    <t>OOP in Python</t>
  </si>
  <si>
    <t>ML w/ Tree Models in Python</t>
  </si>
  <si>
    <t>Writing Functions in Python</t>
  </si>
  <si>
    <t>225 REPS</t>
  </si>
  <si>
    <t>LOW BACK</t>
  </si>
  <si>
    <t>TOE TOUCH</t>
  </si>
  <si>
    <t>15-16</t>
  </si>
  <si>
    <t>17-18</t>
  </si>
  <si>
    <t>19-20</t>
  </si>
  <si>
    <t>MF</t>
  </si>
  <si>
    <t>Spanish Test on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</si>
</sst>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242424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" fontId="5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7426-69C9-42A8-B020-F5FE235FF892}">
  <dimension ref="A1:U38"/>
  <sheetViews>
    <sheetView workbookViewId="0">
      <pane ySplit="1" topLeftCell="A2" activePane="bottomLeft" state="frozen"/>
      <selection pane="bottomLeft" activeCell="B3" sqref="B3"/>
    </sheetView>
  </sheetViews>
  <sheetFormatPr defaultColWidth="51.44140625" defaultRowHeight="14.4" x14ac:dyDescent="0.3"/>
  <cols>
    <col min="1" max="2" width="40.6640625" style="1" bestFit="1" customWidth="1"/>
    <col min="3" max="3" width="13.6640625" style="1" customWidth="1"/>
    <col min="4" max="4" width="12" style="1" customWidth="1"/>
    <col min="5" max="5" width="14.44140625" style="1" customWidth="1"/>
    <col min="6" max="7" width="12.44140625" style="1" customWidth="1"/>
    <col min="8" max="8" width="9.5546875" style="1" bestFit="1" customWidth="1"/>
    <col min="9" max="9" width="7.5546875" style="1" bestFit="1" customWidth="1"/>
    <col min="10" max="16" width="10.6640625" style="1" customWidth="1"/>
    <col min="17" max="16384" width="51.44140625" style="1"/>
  </cols>
  <sheetData>
    <row r="1" spans="1:21" ht="50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2" customFormat="1" ht="39.75" customHeight="1" x14ac:dyDescent="0.3">
      <c r="A2" s="10" t="s">
        <v>9</v>
      </c>
      <c r="B2" s="5" t="s">
        <v>10</v>
      </c>
      <c r="C2" s="5">
        <v>1</v>
      </c>
      <c r="D2" s="5">
        <v>1</v>
      </c>
      <c r="E2" s="5">
        <v>0</v>
      </c>
      <c r="F2" s="5">
        <v>0</v>
      </c>
      <c r="G2" s="5">
        <f t="shared" ref="G2:G11" si="0">SUM(C2:F2)</f>
        <v>2</v>
      </c>
      <c r="H2" s="5">
        <v>4</v>
      </c>
      <c r="I2" s="5">
        <v>16</v>
      </c>
    </row>
    <row r="3" spans="1:21" ht="39.75" customHeight="1" x14ac:dyDescent="0.3">
      <c r="A3" s="4" t="s">
        <v>11</v>
      </c>
      <c r="B3" s="5" t="s">
        <v>12</v>
      </c>
      <c r="C3" s="5">
        <v>1</v>
      </c>
      <c r="D3" s="5">
        <v>1</v>
      </c>
      <c r="E3" s="5">
        <v>0</v>
      </c>
      <c r="F3" s="5">
        <v>0</v>
      </c>
      <c r="G3" s="5">
        <f t="shared" si="0"/>
        <v>2</v>
      </c>
      <c r="H3" s="5">
        <v>4</v>
      </c>
      <c r="I3" s="5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9.75" customHeight="1" x14ac:dyDescent="0.3">
      <c r="A4" s="4" t="s">
        <v>13</v>
      </c>
      <c r="B4" s="5" t="s">
        <v>14</v>
      </c>
      <c r="C4" s="5">
        <v>0</v>
      </c>
      <c r="D4" s="5">
        <v>1</v>
      </c>
      <c r="E4" s="5">
        <v>0</v>
      </c>
      <c r="F4" s="5">
        <v>0</v>
      </c>
      <c r="G4" s="5">
        <f t="shared" si="0"/>
        <v>1</v>
      </c>
      <c r="H4" s="5">
        <v>4</v>
      </c>
      <c r="I4" s="5">
        <v>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9.75" customHeight="1" x14ac:dyDescent="0.3">
      <c r="A5" s="4" t="s">
        <v>15</v>
      </c>
      <c r="B5" s="5" t="s">
        <v>16</v>
      </c>
      <c r="C5" s="5">
        <v>0</v>
      </c>
      <c r="D5" s="5">
        <v>1</v>
      </c>
      <c r="E5" s="5">
        <v>0</v>
      </c>
      <c r="F5" s="5">
        <v>0</v>
      </c>
      <c r="G5" s="5">
        <f t="shared" si="0"/>
        <v>1</v>
      </c>
      <c r="H5" s="5">
        <v>4</v>
      </c>
      <c r="I5" s="5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9.75" customHeight="1" x14ac:dyDescent="0.3">
      <c r="A6" s="4" t="s">
        <v>15</v>
      </c>
      <c r="B6" s="5" t="s">
        <v>17</v>
      </c>
      <c r="C6" s="5">
        <v>0</v>
      </c>
      <c r="D6" s="5">
        <v>1</v>
      </c>
      <c r="E6" s="5">
        <v>0</v>
      </c>
      <c r="F6" s="5">
        <v>0</v>
      </c>
      <c r="G6" s="5">
        <f t="shared" si="0"/>
        <v>1</v>
      </c>
      <c r="H6" s="5">
        <v>4</v>
      </c>
      <c r="I6" s="5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 ht="39.75" customHeight="1" x14ac:dyDescent="0.3">
      <c r="A7" s="4" t="s">
        <v>18</v>
      </c>
      <c r="B7" s="5" t="s">
        <v>19</v>
      </c>
      <c r="C7" s="5">
        <v>0</v>
      </c>
      <c r="D7" s="5">
        <v>1</v>
      </c>
      <c r="E7" s="5">
        <v>1</v>
      </c>
      <c r="F7" s="5">
        <v>1</v>
      </c>
      <c r="G7" s="5">
        <f t="shared" si="0"/>
        <v>3</v>
      </c>
      <c r="H7" s="5">
        <v>2</v>
      </c>
      <c r="I7" s="5">
        <v>8</v>
      </c>
    </row>
    <row r="8" spans="1:21" ht="39.75" customHeight="1" x14ac:dyDescent="0.3">
      <c r="A8" s="5" t="s">
        <v>19</v>
      </c>
      <c r="B8" s="5" t="s">
        <v>20</v>
      </c>
      <c r="C8" s="5">
        <v>0</v>
      </c>
      <c r="D8" s="5">
        <v>1</v>
      </c>
      <c r="E8" s="5">
        <v>1</v>
      </c>
      <c r="F8" s="5">
        <v>1</v>
      </c>
      <c r="G8" s="5">
        <f t="shared" si="0"/>
        <v>3</v>
      </c>
      <c r="H8" s="5">
        <v>2</v>
      </c>
      <c r="I8" s="5">
        <v>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9.75" customHeight="1" x14ac:dyDescent="0.3">
      <c r="A9" s="5" t="s">
        <v>20</v>
      </c>
      <c r="B9" s="5" t="s">
        <v>21</v>
      </c>
      <c r="C9" s="5">
        <v>0</v>
      </c>
      <c r="D9" s="5">
        <v>0</v>
      </c>
      <c r="E9" s="5">
        <v>1</v>
      </c>
      <c r="F9" s="5">
        <v>0</v>
      </c>
      <c r="G9" s="5">
        <f t="shared" si="0"/>
        <v>1</v>
      </c>
      <c r="H9" s="5">
        <v>3</v>
      </c>
      <c r="I9" s="5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39.75" customHeight="1" x14ac:dyDescent="0.3">
      <c r="A10" s="5" t="s">
        <v>20</v>
      </c>
      <c r="B10" s="5" t="s">
        <v>22</v>
      </c>
      <c r="C10" s="5">
        <v>0</v>
      </c>
      <c r="D10" s="5">
        <v>0</v>
      </c>
      <c r="E10" s="5">
        <v>0</v>
      </c>
      <c r="F10" s="5">
        <v>1</v>
      </c>
      <c r="G10" s="5">
        <f t="shared" si="0"/>
        <v>1</v>
      </c>
      <c r="H10" s="5">
        <v>2</v>
      </c>
      <c r="I10" s="5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39.75" customHeight="1" x14ac:dyDescent="0.3">
      <c r="A11" s="5" t="s">
        <v>22</v>
      </c>
      <c r="B11" s="5" t="s">
        <v>23</v>
      </c>
      <c r="C11" s="5">
        <v>0</v>
      </c>
      <c r="D11" s="5">
        <v>0</v>
      </c>
      <c r="E11" s="5">
        <v>0</v>
      </c>
      <c r="F11" s="5">
        <v>1</v>
      </c>
      <c r="G11" s="5">
        <f t="shared" si="0"/>
        <v>1</v>
      </c>
      <c r="H11" s="5">
        <v>3</v>
      </c>
      <c r="I11" s="5">
        <v>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2" customFormat="1" ht="39.75" customHeight="1" x14ac:dyDescent="0.3">
      <c r="A12" s="8"/>
      <c r="B12" s="8"/>
      <c r="C12" s="8"/>
      <c r="D12" s="8"/>
      <c r="E12" s="8"/>
      <c r="F12" s="8"/>
      <c r="G12" s="8"/>
      <c r="H12" s="8"/>
      <c r="I12" s="8"/>
    </row>
    <row r="13" spans="1:21" ht="39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9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39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39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39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E60B-CDC1-4790-822C-FAA1536BA78B}">
  <dimension ref="A1:S25"/>
  <sheetViews>
    <sheetView tabSelected="1" zoomScale="75" zoomScaleNormal="75" workbookViewId="0">
      <pane ySplit="1" topLeftCell="A2" activePane="bottomLeft" state="frozen"/>
      <selection pane="bottomLeft" activeCell="A11" sqref="A11:XFD11"/>
    </sheetView>
  </sheetViews>
  <sheetFormatPr defaultColWidth="8.44140625" defaultRowHeight="15.6" x14ac:dyDescent="0.3"/>
  <cols>
    <col min="1" max="1" width="6.44140625" style="6" customWidth="1"/>
    <col min="2" max="2" width="7.6640625" style="6" bestFit="1" customWidth="1"/>
    <col min="3" max="4" width="5.44140625" style="6" bestFit="1" customWidth="1"/>
    <col min="5" max="5" width="28.88671875" style="6" bestFit="1" customWidth="1"/>
    <col min="6" max="6" width="6.77734375" style="6" bestFit="1" customWidth="1"/>
    <col min="7" max="7" width="5.88671875" style="6" bestFit="1" customWidth="1"/>
    <col min="8" max="8" width="32.109375" style="6" bestFit="1" customWidth="1"/>
    <col min="9" max="9" width="8.21875" style="6" bestFit="1" customWidth="1"/>
    <col min="10" max="10" width="9.44140625" style="6" bestFit="1" customWidth="1"/>
    <col min="11" max="11" width="11" style="6" bestFit="1" customWidth="1"/>
    <col min="12" max="12" width="12.109375" style="6" bestFit="1" customWidth="1"/>
    <col min="13" max="13" width="4" style="6" bestFit="1" customWidth="1"/>
    <col min="14" max="14" width="26.5546875" style="6" bestFit="1" customWidth="1"/>
    <col min="15" max="16384" width="8.44140625" style="6"/>
  </cols>
  <sheetData>
    <row r="1" spans="1:19" s="7" customFormat="1" x14ac:dyDescent="0.3">
      <c r="A1" s="9" t="s">
        <v>24</v>
      </c>
      <c r="B1" s="9" t="s">
        <v>25</v>
      </c>
      <c r="C1" s="15" t="s">
        <v>27</v>
      </c>
      <c r="D1" s="15"/>
      <c r="E1" s="9" t="s">
        <v>26</v>
      </c>
      <c r="F1" s="11" t="s">
        <v>41</v>
      </c>
      <c r="G1" s="11" t="s">
        <v>42</v>
      </c>
      <c r="H1" s="9" t="s">
        <v>28</v>
      </c>
      <c r="I1" s="9" t="s">
        <v>29</v>
      </c>
      <c r="J1" s="11" t="s">
        <v>54</v>
      </c>
      <c r="K1" s="11" t="s">
        <v>55</v>
      </c>
      <c r="L1" s="11" t="s">
        <v>56</v>
      </c>
      <c r="M1" s="11" t="s">
        <v>60</v>
      </c>
      <c r="N1" s="9" t="s">
        <v>30</v>
      </c>
      <c r="O1" s="9"/>
      <c r="P1" s="9"/>
      <c r="Q1" s="9"/>
      <c r="R1" s="9"/>
      <c r="S1" s="9"/>
    </row>
    <row r="2" spans="1:19" x14ac:dyDescent="0.3">
      <c r="A2" s="12">
        <v>1</v>
      </c>
      <c r="B2" s="13">
        <v>46327</v>
      </c>
      <c r="C2" s="12">
        <v>4000</v>
      </c>
      <c r="D2" s="12">
        <f>C2+150</f>
        <v>4150</v>
      </c>
      <c r="E2" s="12" t="s">
        <v>40</v>
      </c>
      <c r="F2" s="12">
        <v>1</v>
      </c>
      <c r="G2" s="12">
        <v>2</v>
      </c>
      <c r="H2" s="12" t="s">
        <v>43</v>
      </c>
      <c r="I2" s="12">
        <v>2016</v>
      </c>
      <c r="J2" s="12">
        <v>10</v>
      </c>
      <c r="K2" s="12">
        <v>100</v>
      </c>
      <c r="L2" s="12">
        <v>20</v>
      </c>
      <c r="M2" s="12">
        <v>17</v>
      </c>
      <c r="N2" s="12"/>
    </row>
    <row r="3" spans="1:19" x14ac:dyDescent="0.3">
      <c r="A3" s="12">
        <f t="shared" ref="A3:A24" si="0">A2+1</f>
        <v>2</v>
      </c>
      <c r="B3" s="13">
        <f t="shared" ref="B3:B24" si="1">B2+7</f>
        <v>46334</v>
      </c>
      <c r="C3" s="12">
        <f t="shared" ref="C3:C4" si="2">D2</f>
        <v>4150</v>
      </c>
      <c r="D3" s="12">
        <f t="shared" ref="D3:D12" si="3">C3+150</f>
        <v>4300</v>
      </c>
      <c r="E3" s="12" t="s">
        <v>40</v>
      </c>
      <c r="F3" s="12">
        <v>3</v>
      </c>
      <c r="G3" s="12">
        <v>4</v>
      </c>
      <c r="H3" s="12" t="s">
        <v>52</v>
      </c>
      <c r="I3" s="12">
        <f>I2+1</f>
        <v>2017</v>
      </c>
      <c r="J3" s="12">
        <f>J2+1</f>
        <v>11</v>
      </c>
      <c r="K3" s="12">
        <v>105</v>
      </c>
      <c r="L3" s="12">
        <f>L2+1</f>
        <v>21</v>
      </c>
      <c r="M3" s="12">
        <v>18</v>
      </c>
      <c r="N3" s="12"/>
    </row>
    <row r="4" spans="1:19" x14ac:dyDescent="0.3">
      <c r="A4" s="12">
        <f t="shared" si="0"/>
        <v>3</v>
      </c>
      <c r="B4" s="13">
        <f t="shared" si="1"/>
        <v>46341</v>
      </c>
      <c r="C4" s="12">
        <f t="shared" si="2"/>
        <v>4300</v>
      </c>
      <c r="D4" s="12">
        <f t="shared" si="3"/>
        <v>4450</v>
      </c>
      <c r="E4" s="12" t="s">
        <v>40</v>
      </c>
      <c r="F4" s="12">
        <v>5</v>
      </c>
      <c r="G4" s="12">
        <v>6</v>
      </c>
      <c r="H4" s="12" t="s">
        <v>51</v>
      </c>
      <c r="I4" s="12">
        <f t="shared" ref="I4:L12" si="4">I3+1</f>
        <v>2018</v>
      </c>
      <c r="J4" s="12">
        <f t="shared" si="4"/>
        <v>12</v>
      </c>
      <c r="K4" s="12">
        <v>110</v>
      </c>
      <c r="L4" s="12">
        <f t="shared" si="4"/>
        <v>22</v>
      </c>
      <c r="M4" s="12">
        <v>19</v>
      </c>
      <c r="N4" s="12"/>
    </row>
    <row r="5" spans="1:19" x14ac:dyDescent="0.3">
      <c r="A5" s="12">
        <f t="shared" si="0"/>
        <v>4</v>
      </c>
      <c r="B5" s="13">
        <f t="shared" si="1"/>
        <v>46348</v>
      </c>
      <c r="C5" s="16" t="s">
        <v>18</v>
      </c>
      <c r="D5" s="16"/>
      <c r="E5" s="12" t="s">
        <v>40</v>
      </c>
      <c r="F5" s="12">
        <v>7</v>
      </c>
      <c r="G5" s="12">
        <v>7</v>
      </c>
      <c r="H5" s="12" t="s">
        <v>50</v>
      </c>
      <c r="I5" s="12">
        <f t="shared" si="4"/>
        <v>2019</v>
      </c>
      <c r="J5" s="12">
        <f t="shared" si="4"/>
        <v>13</v>
      </c>
      <c r="K5" s="12">
        <v>115</v>
      </c>
      <c r="L5" s="12">
        <f t="shared" si="4"/>
        <v>23</v>
      </c>
      <c r="M5" s="16">
        <v>20</v>
      </c>
      <c r="N5" s="12" t="s">
        <v>34</v>
      </c>
    </row>
    <row r="6" spans="1:19" x14ac:dyDescent="0.3">
      <c r="A6" s="12">
        <f t="shared" si="0"/>
        <v>5</v>
      </c>
      <c r="B6" s="13">
        <f t="shared" si="1"/>
        <v>46355</v>
      </c>
      <c r="C6" s="12">
        <v>4450</v>
      </c>
      <c r="D6" s="12">
        <f t="shared" si="3"/>
        <v>4600</v>
      </c>
      <c r="E6" s="12" t="s">
        <v>40</v>
      </c>
      <c r="F6" s="12">
        <v>8</v>
      </c>
      <c r="G6" s="12">
        <v>9</v>
      </c>
      <c r="H6" s="12" t="s">
        <v>49</v>
      </c>
      <c r="I6" s="12">
        <f t="shared" si="4"/>
        <v>2020</v>
      </c>
      <c r="J6" s="12">
        <f t="shared" si="4"/>
        <v>14</v>
      </c>
      <c r="K6" s="12">
        <v>120</v>
      </c>
      <c r="L6" s="12">
        <f t="shared" si="4"/>
        <v>24</v>
      </c>
      <c r="M6" s="16"/>
      <c r="N6" s="12" t="s">
        <v>33</v>
      </c>
    </row>
    <row r="7" spans="1:19" x14ac:dyDescent="0.3">
      <c r="A7" s="12">
        <f t="shared" si="0"/>
        <v>6</v>
      </c>
      <c r="B7" s="13">
        <f t="shared" si="1"/>
        <v>46362</v>
      </c>
      <c r="C7" s="12">
        <f t="shared" ref="C7:C12" si="5">D6</f>
        <v>4600</v>
      </c>
      <c r="D7" s="12">
        <f t="shared" si="3"/>
        <v>4750</v>
      </c>
      <c r="E7" s="12" t="s">
        <v>40</v>
      </c>
      <c r="F7" s="12">
        <v>10</v>
      </c>
      <c r="G7" s="12">
        <v>11</v>
      </c>
      <c r="H7" s="12" t="s">
        <v>48</v>
      </c>
      <c r="I7" s="12">
        <f t="shared" si="4"/>
        <v>2021</v>
      </c>
      <c r="J7" s="12">
        <f t="shared" si="4"/>
        <v>15</v>
      </c>
      <c r="K7" s="12">
        <v>125</v>
      </c>
      <c r="L7" s="12">
        <f t="shared" si="4"/>
        <v>25</v>
      </c>
      <c r="M7" s="12">
        <v>21</v>
      </c>
      <c r="N7" s="12"/>
    </row>
    <row r="8" spans="1:19" x14ac:dyDescent="0.3">
      <c r="A8" s="12">
        <f t="shared" si="0"/>
        <v>7</v>
      </c>
      <c r="B8" s="13">
        <f t="shared" si="1"/>
        <v>46369</v>
      </c>
      <c r="C8" s="12">
        <f t="shared" si="5"/>
        <v>4750</v>
      </c>
      <c r="D8" s="12">
        <f t="shared" si="3"/>
        <v>4900</v>
      </c>
      <c r="E8" s="12" t="s">
        <v>40</v>
      </c>
      <c r="F8" s="12">
        <v>12</v>
      </c>
      <c r="G8" s="12">
        <v>13</v>
      </c>
      <c r="H8" s="6" t="s">
        <v>47</v>
      </c>
      <c r="I8" s="12">
        <f t="shared" si="4"/>
        <v>2022</v>
      </c>
      <c r="J8" s="12">
        <f t="shared" si="4"/>
        <v>16</v>
      </c>
      <c r="K8" s="12">
        <v>130</v>
      </c>
      <c r="L8" s="12">
        <f t="shared" si="4"/>
        <v>26</v>
      </c>
      <c r="M8" s="12">
        <v>22</v>
      </c>
      <c r="N8" s="12"/>
    </row>
    <row r="9" spans="1:19" x14ac:dyDescent="0.3">
      <c r="A9" s="12">
        <f t="shared" si="0"/>
        <v>8</v>
      </c>
      <c r="B9" s="13">
        <f t="shared" si="1"/>
        <v>46376</v>
      </c>
      <c r="C9" s="12">
        <f t="shared" si="5"/>
        <v>4900</v>
      </c>
      <c r="D9" s="12">
        <v>5000</v>
      </c>
      <c r="E9" s="12" t="s">
        <v>40</v>
      </c>
      <c r="F9" s="12">
        <v>14</v>
      </c>
      <c r="G9" s="12">
        <v>15</v>
      </c>
      <c r="H9" s="6" t="s">
        <v>46</v>
      </c>
      <c r="I9" s="12">
        <f t="shared" si="4"/>
        <v>2023</v>
      </c>
      <c r="J9" s="12">
        <f t="shared" si="4"/>
        <v>17</v>
      </c>
      <c r="K9" s="12">
        <v>135</v>
      </c>
      <c r="L9" s="12">
        <f t="shared" si="4"/>
        <v>27</v>
      </c>
      <c r="M9" s="16">
        <v>23</v>
      </c>
      <c r="N9" s="6" t="s">
        <v>31</v>
      </c>
    </row>
    <row r="10" spans="1:19" x14ac:dyDescent="0.3">
      <c r="A10" s="12">
        <f t="shared" si="0"/>
        <v>9</v>
      </c>
      <c r="B10" s="13">
        <f t="shared" si="1"/>
        <v>46383</v>
      </c>
      <c r="C10" s="12">
        <v>4000</v>
      </c>
      <c r="D10" s="12">
        <v>4100</v>
      </c>
      <c r="E10" s="12" t="s">
        <v>40</v>
      </c>
      <c r="F10" s="12">
        <v>16</v>
      </c>
      <c r="G10" s="12">
        <v>16</v>
      </c>
      <c r="H10" s="6" t="s">
        <v>45</v>
      </c>
      <c r="I10" s="12">
        <f t="shared" si="4"/>
        <v>2024</v>
      </c>
      <c r="J10" s="12">
        <f t="shared" si="4"/>
        <v>18</v>
      </c>
      <c r="K10" s="12">
        <v>140</v>
      </c>
      <c r="L10" s="12">
        <f t="shared" si="4"/>
        <v>28</v>
      </c>
      <c r="M10" s="16"/>
      <c r="N10" s="6" t="s">
        <v>32</v>
      </c>
    </row>
    <row r="11" spans="1:19" x14ac:dyDescent="0.3">
      <c r="A11" s="12">
        <f t="shared" si="0"/>
        <v>10</v>
      </c>
      <c r="B11" s="13">
        <f t="shared" si="1"/>
        <v>46390</v>
      </c>
      <c r="C11" s="12">
        <f t="shared" si="5"/>
        <v>4100</v>
      </c>
      <c r="D11" s="12">
        <f t="shared" si="3"/>
        <v>4250</v>
      </c>
      <c r="E11" s="12" t="s">
        <v>12</v>
      </c>
      <c r="F11" s="12">
        <v>1</v>
      </c>
      <c r="G11" s="12">
        <v>2</v>
      </c>
      <c r="H11" s="6" t="s">
        <v>44</v>
      </c>
      <c r="I11" s="12">
        <f t="shared" si="4"/>
        <v>2025</v>
      </c>
      <c r="J11" s="12">
        <f t="shared" si="4"/>
        <v>19</v>
      </c>
      <c r="K11" s="12">
        <v>145</v>
      </c>
      <c r="L11" s="12">
        <f t="shared" si="4"/>
        <v>29</v>
      </c>
      <c r="M11" s="12">
        <v>24</v>
      </c>
      <c r="N11" s="14" t="s">
        <v>61</v>
      </c>
    </row>
    <row r="12" spans="1:19" x14ac:dyDescent="0.3">
      <c r="A12" s="12">
        <f t="shared" si="0"/>
        <v>11</v>
      </c>
      <c r="B12" s="13">
        <f t="shared" si="1"/>
        <v>46397</v>
      </c>
      <c r="C12" s="12">
        <f t="shared" si="5"/>
        <v>4250</v>
      </c>
      <c r="D12" s="12">
        <f t="shared" si="3"/>
        <v>4400</v>
      </c>
      <c r="E12" s="12" t="s">
        <v>12</v>
      </c>
      <c r="F12" s="12">
        <v>3</v>
      </c>
      <c r="G12" s="12">
        <v>4</v>
      </c>
      <c r="H12" s="6" t="s">
        <v>53</v>
      </c>
      <c r="I12" s="12">
        <v>2026</v>
      </c>
      <c r="J12" s="12">
        <f t="shared" si="4"/>
        <v>20</v>
      </c>
      <c r="K12" s="12">
        <v>150</v>
      </c>
      <c r="L12" s="12">
        <f t="shared" si="4"/>
        <v>30</v>
      </c>
      <c r="M12" s="12" t="s">
        <v>18</v>
      </c>
    </row>
    <row r="13" spans="1:19" x14ac:dyDescent="0.3">
      <c r="A13" s="12">
        <f t="shared" si="0"/>
        <v>12</v>
      </c>
      <c r="B13" s="13">
        <f t="shared" si="1"/>
        <v>46404</v>
      </c>
      <c r="C13" s="16" t="s">
        <v>18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35</v>
      </c>
    </row>
    <row r="14" spans="1:19" x14ac:dyDescent="0.3">
      <c r="A14" s="12">
        <f t="shared" si="0"/>
        <v>13</v>
      </c>
      <c r="B14" s="13">
        <f t="shared" si="1"/>
        <v>46411</v>
      </c>
      <c r="C14" s="12">
        <v>4400</v>
      </c>
      <c r="D14" s="12">
        <f>C14+100</f>
        <v>4500</v>
      </c>
      <c r="E14" s="12" t="s">
        <v>12</v>
      </c>
      <c r="F14" s="12">
        <v>5</v>
      </c>
      <c r="G14" s="6">
        <v>6</v>
      </c>
      <c r="H14" s="17" t="s">
        <v>18</v>
      </c>
      <c r="I14" s="17"/>
      <c r="J14" s="6" t="s">
        <v>57</v>
      </c>
      <c r="K14" s="17">
        <v>150</v>
      </c>
      <c r="L14" s="17">
        <v>30</v>
      </c>
      <c r="M14" s="6">
        <v>1</v>
      </c>
    </row>
    <row r="15" spans="1:19" x14ac:dyDescent="0.3">
      <c r="A15" s="12">
        <f t="shared" si="0"/>
        <v>14</v>
      </c>
      <c r="B15" s="13">
        <f t="shared" si="1"/>
        <v>46418</v>
      </c>
      <c r="C15" s="12">
        <f t="shared" ref="C15:C16" si="6">D14</f>
        <v>4500</v>
      </c>
      <c r="D15" s="12">
        <f t="shared" ref="D15:D16" si="7">C15+100</f>
        <v>4600</v>
      </c>
      <c r="E15" s="12" t="s">
        <v>12</v>
      </c>
      <c r="F15" s="12">
        <v>7</v>
      </c>
      <c r="G15" s="12">
        <v>8</v>
      </c>
      <c r="H15" s="17"/>
      <c r="I15" s="17"/>
      <c r="J15" s="6" t="s">
        <v>58</v>
      </c>
      <c r="K15" s="17"/>
      <c r="L15" s="17"/>
      <c r="M15" s="6">
        <v>2</v>
      </c>
    </row>
    <row r="16" spans="1:19" x14ac:dyDescent="0.3">
      <c r="A16" s="12">
        <f t="shared" si="0"/>
        <v>15</v>
      </c>
      <c r="B16" s="13">
        <f t="shared" si="1"/>
        <v>46425</v>
      </c>
      <c r="C16" s="12">
        <f t="shared" si="6"/>
        <v>4600</v>
      </c>
      <c r="D16" s="12">
        <f t="shared" si="7"/>
        <v>4700</v>
      </c>
      <c r="E16" s="12" t="s">
        <v>12</v>
      </c>
      <c r="F16" s="12">
        <v>9</v>
      </c>
      <c r="G16" s="12">
        <v>10</v>
      </c>
      <c r="H16" s="17"/>
      <c r="I16" s="17"/>
      <c r="J16" s="6" t="s">
        <v>59</v>
      </c>
      <c r="K16" s="17"/>
      <c r="L16" s="17"/>
      <c r="M16" s="6">
        <v>3</v>
      </c>
    </row>
    <row r="17" spans="1:14" x14ac:dyDescent="0.3">
      <c r="A17" s="12">
        <f t="shared" si="0"/>
        <v>16</v>
      </c>
      <c r="B17" s="13">
        <f t="shared" si="1"/>
        <v>46432</v>
      </c>
      <c r="C17" s="16" t="s">
        <v>18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 t="s">
        <v>35</v>
      </c>
    </row>
    <row r="18" spans="1:14" x14ac:dyDescent="0.3">
      <c r="A18" s="12">
        <f t="shared" si="0"/>
        <v>17</v>
      </c>
      <c r="B18" s="13">
        <f t="shared" si="1"/>
        <v>46439</v>
      </c>
      <c r="C18" s="12">
        <v>4700</v>
      </c>
      <c r="D18" s="12">
        <f>C18+100</f>
        <v>4800</v>
      </c>
      <c r="E18" s="12" t="s">
        <v>12</v>
      </c>
      <c r="F18" s="12">
        <v>11</v>
      </c>
      <c r="G18" s="6">
        <v>12</v>
      </c>
      <c r="H18" s="17" t="s">
        <v>18</v>
      </c>
      <c r="I18" s="17"/>
      <c r="J18" s="6" t="s">
        <v>57</v>
      </c>
      <c r="K18" s="17">
        <v>150</v>
      </c>
      <c r="L18" s="17">
        <v>30</v>
      </c>
      <c r="M18" s="6">
        <v>4</v>
      </c>
    </row>
    <row r="19" spans="1:14" x14ac:dyDescent="0.3">
      <c r="A19" s="12">
        <f t="shared" si="0"/>
        <v>18</v>
      </c>
      <c r="B19" s="13">
        <f t="shared" si="1"/>
        <v>46446</v>
      </c>
      <c r="C19" s="12">
        <f>D18</f>
        <v>4800</v>
      </c>
      <c r="D19" s="12">
        <f t="shared" ref="D19:D20" si="8">C19+100</f>
        <v>4900</v>
      </c>
      <c r="E19" s="12" t="s">
        <v>12</v>
      </c>
      <c r="F19" s="12">
        <v>13</v>
      </c>
      <c r="G19" s="12">
        <v>14</v>
      </c>
      <c r="H19" s="17"/>
      <c r="I19" s="17"/>
      <c r="J19" s="6" t="s">
        <v>58</v>
      </c>
      <c r="K19" s="17"/>
      <c r="L19" s="17"/>
      <c r="M19" s="6">
        <v>5</v>
      </c>
    </row>
    <row r="20" spans="1:14" x14ac:dyDescent="0.3">
      <c r="A20" s="12">
        <f t="shared" si="0"/>
        <v>19</v>
      </c>
      <c r="B20" s="13">
        <f t="shared" si="1"/>
        <v>46453</v>
      </c>
      <c r="C20" s="12">
        <f>D19</f>
        <v>4900</v>
      </c>
      <c r="D20" s="12">
        <f t="shared" si="8"/>
        <v>5000</v>
      </c>
      <c r="E20" s="12" t="s">
        <v>12</v>
      </c>
      <c r="F20" s="12">
        <v>15</v>
      </c>
      <c r="G20" s="12">
        <v>15</v>
      </c>
      <c r="H20" s="17"/>
      <c r="I20" s="17"/>
      <c r="J20" s="6" t="s">
        <v>59</v>
      </c>
      <c r="K20" s="17"/>
      <c r="L20" s="17"/>
      <c r="M20" s="6">
        <v>6</v>
      </c>
    </row>
    <row r="21" spans="1:14" x14ac:dyDescent="0.3">
      <c r="A21" s="12">
        <f t="shared" si="0"/>
        <v>20</v>
      </c>
      <c r="B21" s="13">
        <f t="shared" si="1"/>
        <v>46460</v>
      </c>
      <c r="C21" s="16" t="s">
        <v>18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6" t="s">
        <v>37</v>
      </c>
    </row>
    <row r="22" spans="1:14" x14ac:dyDescent="0.3">
      <c r="A22" s="12">
        <f t="shared" si="0"/>
        <v>21</v>
      </c>
      <c r="B22" s="13">
        <f t="shared" si="1"/>
        <v>46467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6" t="s">
        <v>36</v>
      </c>
    </row>
    <row r="23" spans="1:14" x14ac:dyDescent="0.3">
      <c r="A23" s="12">
        <f t="shared" si="0"/>
        <v>22</v>
      </c>
      <c r="B23" s="13">
        <f t="shared" si="1"/>
        <v>46474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6" t="s">
        <v>38</v>
      </c>
    </row>
    <row r="24" spans="1:14" x14ac:dyDescent="0.3">
      <c r="A24" s="12">
        <f t="shared" si="0"/>
        <v>23</v>
      </c>
      <c r="B24" s="13">
        <f t="shared" si="1"/>
        <v>46481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6" t="s">
        <v>39</v>
      </c>
    </row>
    <row r="25" spans="1:14" x14ac:dyDescent="0.3">
      <c r="A25" s="12"/>
      <c r="B25" s="13"/>
    </row>
  </sheetData>
  <mergeCells count="13">
    <mergeCell ref="C1:D1"/>
    <mergeCell ref="M9:M10"/>
    <mergeCell ref="M5:M6"/>
    <mergeCell ref="C21:M24"/>
    <mergeCell ref="C13:M13"/>
    <mergeCell ref="C17:M17"/>
    <mergeCell ref="C5:D5"/>
    <mergeCell ref="H14:I16"/>
    <mergeCell ref="H18:I20"/>
    <mergeCell ref="K14:K16"/>
    <mergeCell ref="L14:L16"/>
    <mergeCell ref="K18:K20"/>
    <mergeCell ref="L18:L2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DataCamp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JUSTINSA1</dc:creator>
  <cp:keywords/>
  <dc:description/>
  <cp:lastModifiedBy>JUSTINSA1</cp:lastModifiedBy>
  <cp:revision/>
  <dcterms:created xsi:type="dcterms:W3CDTF">2025-04-15T13:52:29Z</dcterms:created>
  <dcterms:modified xsi:type="dcterms:W3CDTF">2026-10-06T23:23:23Z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981364-f692-4f2a-9ce2-d46e8624bdb4_Enabled">
    <vt:lpwstr>true</vt:lpwstr>
  </property>
  <property fmtid="{D5CDD505-2E9C-101B-9397-08002B2CF9AE}" pid="3" name="MSIP_Label_51981364-f692-4f2a-9ce2-d46e8624bdb4_SetDate">
    <vt:lpwstr>2025-04-16T17:34:29Z</vt:lpwstr>
  </property>
  <property fmtid="{D5CDD505-2E9C-101B-9397-08002B2CF9AE}" pid="4" name="MSIP_Label_51981364-f692-4f2a-9ce2-d46e8624bdb4_Method">
    <vt:lpwstr>Privileged</vt:lpwstr>
  </property>
  <property fmtid="{D5CDD505-2E9C-101B-9397-08002B2CF9AE}" pid="5" name="MSIP_Label_51981364-f692-4f2a-9ce2-d46e8624bdb4_Name">
    <vt:lpwstr>U</vt:lpwstr>
  </property>
  <property fmtid="{D5CDD505-2E9C-101B-9397-08002B2CF9AE}" pid="6" name="MSIP_Label_51981364-f692-4f2a-9ce2-d46e8624bdb4_SiteId">
    <vt:lpwstr>035b7643-ee5c-4d58-bfad-16b0130d08ed</vt:lpwstr>
  </property>
  <property fmtid="{D5CDD505-2E9C-101B-9397-08002B2CF9AE}" pid="7" name="MSIP_Label_51981364-f692-4f2a-9ce2-d46e8624bdb4_ActionId">
    <vt:lpwstr>98eb85c6-6099-4766-9aa4-e7b25521efef</vt:lpwstr>
  </property>
  <property fmtid="{D5CDD505-2E9C-101B-9397-08002B2CF9AE}" pid="8" name="MSIP_Label_51981364-f692-4f2a-9ce2-d46e8624bdb4_ContentBits">
    <vt:lpwstr>3</vt:lpwstr>
  </property>
  <property fmtid="{D5CDD505-2E9C-101B-9397-08002B2CF9AE}" pid="9" name="MSIP_Label_51981364-f692-4f2a-9ce2-d46e8624bdb4_Tag">
    <vt:lpwstr>10, 0, 1, 2</vt:lpwstr>
  </property>
</Properties>
</file>