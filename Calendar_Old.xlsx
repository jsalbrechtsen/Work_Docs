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ain2\dfsroot\Users\DNI\D01\DUSR01\JUSTINSA1\Desktop\"/>
    </mc:Choice>
  </mc:AlternateContent>
  <xr:revisionPtr revIDLastSave="0" documentId="13_ncr:1_{913C3645-063B-43FD-A2CA-D94BD1BC66C1}" xr6:coauthVersionLast="47" xr6:coauthVersionMax="47" xr10:uidLastSave="{00000000-0000-0000-0000-000000000000}"/>
  <bookViews>
    <workbookView xWindow="-108" yWindow="144" windowWidth="30936" windowHeight="12204" activeTab="1" xr2:uid="{5DED911F-8B02-4FAC-8AB9-2789E08CC6FF}"/>
  </bookViews>
  <sheets>
    <sheet name="DataCamp" sheetId="3" r:id="rId1"/>
    <sheet name="Calendar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5" l="1"/>
  <c r="D2" i="5"/>
  <c r="B3" i="5"/>
  <c r="B4" i="5" s="1"/>
  <c r="B5" i="5" s="1"/>
  <c r="B6" i="5" s="1"/>
  <c r="B7" i="5" s="1"/>
  <c r="B8" i="5" s="1"/>
  <c r="A3" i="5"/>
  <c r="A4" i="5" s="1"/>
  <c r="A5" i="5" s="1"/>
  <c r="A6" i="5" s="1"/>
  <c r="A7" i="5" s="1"/>
  <c r="A8" i="5" s="1"/>
  <c r="G2" i="3"/>
  <c r="G3" i="3"/>
  <c r="G7" i="3"/>
  <c r="G8" i="3"/>
  <c r="G5" i="3"/>
  <c r="G4" i="3"/>
  <c r="G6" i="3"/>
  <c r="G10" i="3"/>
  <c r="G9" i="3"/>
  <c r="G11" i="3"/>
  <c r="C3" i="5" l="1"/>
  <c r="D5" i="5" l="1"/>
  <c r="C6" i="5" s="1"/>
  <c r="D3" i="5"/>
  <c r="C4" i="5" s="1"/>
  <c r="D6" i="5" l="1"/>
  <c r="C7" i="5" s="1"/>
  <c r="D7" i="5" s="1"/>
  <c r="C8" i="5" s="1"/>
  <c r="D8" i="5" s="1"/>
</calcChain>
</file>

<file path=xl/sharedStrings.xml><?xml version="1.0" encoding="utf-8"?>
<sst xmlns="http://schemas.openxmlformats.org/spreadsheetml/2006/main" count="58" uniqueCount="43">
  <si>
    <t>Prerequisites</t>
  </si>
  <si>
    <t>Course</t>
  </si>
  <si>
    <t>Python Programming</t>
  </si>
  <si>
    <t>Python Developer</t>
  </si>
  <si>
    <t>Git Fundamentals</t>
  </si>
  <si>
    <t>GitHub Foundations</t>
  </si>
  <si>
    <t>SUM</t>
  </si>
  <si>
    <t>Chapters</t>
  </si>
  <si>
    <t>Videos</t>
  </si>
  <si>
    <t>Writing Functions in Python
Software Engineering Principles in Python</t>
  </si>
  <si>
    <t>Introduction to Testing in Python</t>
  </si>
  <si>
    <t>Data Types in Python
Python Toolbox</t>
  </si>
  <si>
    <t>Writing Efficient Python Code</t>
  </si>
  <si>
    <t>Introduction to Shell
Writing Functions in Python</t>
  </si>
  <si>
    <t>Developing Python Packages</t>
  </si>
  <si>
    <t>Introduction to OOP in Python</t>
  </si>
  <si>
    <t>Intermediate OOP in Python</t>
  </si>
  <si>
    <t>Data Structures and Algorithms in Python</t>
  </si>
  <si>
    <t>NA</t>
  </si>
  <si>
    <t>Introduction to Git</t>
  </si>
  <si>
    <t>Intermediate Git</t>
  </si>
  <si>
    <t>Advanced Git</t>
  </si>
  <si>
    <t>Introduction to GitHub Concepts</t>
  </si>
  <si>
    <t>Intermediate GitHub Concepts</t>
  </si>
  <si>
    <t>WEEK</t>
  </si>
  <si>
    <t>DATE</t>
  </si>
  <si>
    <t>DATACAMP</t>
  </si>
  <si>
    <t>VIDEO</t>
  </si>
  <si>
    <t>SPANISH</t>
  </si>
  <si>
    <t>CLAUDE CHEAT SHEETS</t>
  </si>
  <si>
    <t>ITALIAN</t>
  </si>
  <si>
    <t>NOTES</t>
  </si>
  <si>
    <t>Software Engineering Principles</t>
  </si>
  <si>
    <t>Intro to APIs in Python</t>
  </si>
  <si>
    <t>Intro to Deep Learning</t>
  </si>
  <si>
    <t>Intro to Embeddings OpenAI API</t>
  </si>
  <si>
    <t>MON SEP 07 is Labor Day</t>
  </si>
  <si>
    <t>Intro to Functions in Python</t>
  </si>
  <si>
    <t>Intro to NLP in Python</t>
  </si>
  <si>
    <t>Intro to OOP in Python</t>
  </si>
  <si>
    <t>Rohwer visits THU OCT 01 to SUN OCT 04</t>
  </si>
  <si>
    <t>Intro to Python</t>
  </si>
  <si>
    <t>Off on MON JULY 27 due to Rohwer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</si>
</sst>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242424"/>
      <name val="Calibri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16" fontId="5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7426-69C9-42A8-B020-F5FE235FF892}">
  <dimension ref="A1:U38"/>
  <sheetViews>
    <sheetView zoomScale="75" zoomScaleNormal="75" workbookViewId="0">
      <pane ySplit="1" topLeftCell="A2" activePane="bottomLeft" state="frozen"/>
      <selection pane="bottomLeft" activeCell="E3" sqref="E3"/>
    </sheetView>
  </sheetViews>
  <sheetFormatPr defaultColWidth="51.44140625" defaultRowHeight="14.4" x14ac:dyDescent="0.3"/>
  <cols>
    <col min="1" max="2" width="40.6640625" style="1" bestFit="1" customWidth="1"/>
    <col min="3" max="3" width="13.6640625" style="1" customWidth="1"/>
    <col min="4" max="4" width="12" style="1" customWidth="1"/>
    <col min="5" max="5" width="14.44140625" style="1" customWidth="1"/>
    <col min="6" max="7" width="12.44140625" style="1" customWidth="1"/>
    <col min="8" max="8" width="9.5546875" style="1" bestFit="1" customWidth="1"/>
    <col min="9" max="9" width="7.5546875" style="1" bestFit="1" customWidth="1"/>
    <col min="10" max="16" width="10.6640625" style="1" customWidth="1"/>
    <col min="17" max="16384" width="51.44140625" style="1"/>
  </cols>
  <sheetData>
    <row r="1" spans="1:21" ht="50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s="2" customFormat="1" ht="39.75" customHeight="1" x14ac:dyDescent="0.3">
      <c r="A2" s="12" t="s">
        <v>9</v>
      </c>
      <c r="B2" s="5" t="s">
        <v>10</v>
      </c>
      <c r="C2" s="5">
        <v>1</v>
      </c>
      <c r="D2" s="5">
        <v>1</v>
      </c>
      <c r="E2" s="5">
        <v>0</v>
      </c>
      <c r="F2" s="5">
        <v>0</v>
      </c>
      <c r="G2" s="5">
        <f t="shared" ref="G2:G11" si="0">SUM(C2:F2)</f>
        <v>2</v>
      </c>
      <c r="H2" s="5">
        <v>4</v>
      </c>
      <c r="I2" s="5">
        <v>16</v>
      </c>
    </row>
    <row r="3" spans="1:21" ht="39.75" customHeight="1" x14ac:dyDescent="0.3">
      <c r="A3" s="4" t="s">
        <v>11</v>
      </c>
      <c r="B3" s="5" t="s">
        <v>12</v>
      </c>
      <c r="C3" s="5">
        <v>1</v>
      </c>
      <c r="D3" s="5">
        <v>1</v>
      </c>
      <c r="E3" s="5">
        <v>0</v>
      </c>
      <c r="F3" s="5">
        <v>0</v>
      </c>
      <c r="G3" s="5">
        <f t="shared" si="0"/>
        <v>2</v>
      </c>
      <c r="H3" s="5">
        <v>4</v>
      </c>
      <c r="I3" s="5">
        <v>15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39.75" customHeight="1" x14ac:dyDescent="0.3">
      <c r="A4" s="4" t="s">
        <v>13</v>
      </c>
      <c r="B4" s="5" t="s">
        <v>14</v>
      </c>
      <c r="C4" s="5">
        <v>0</v>
      </c>
      <c r="D4" s="5">
        <v>1</v>
      </c>
      <c r="E4" s="5">
        <v>0</v>
      </c>
      <c r="F4" s="5">
        <v>0</v>
      </c>
      <c r="G4" s="5">
        <f t="shared" si="0"/>
        <v>1</v>
      </c>
      <c r="H4" s="5">
        <v>4</v>
      </c>
      <c r="I4" s="5">
        <v>14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39.75" customHeight="1" x14ac:dyDescent="0.3">
      <c r="A5" s="4" t="s">
        <v>15</v>
      </c>
      <c r="B5" s="5" t="s">
        <v>16</v>
      </c>
      <c r="C5" s="5">
        <v>0</v>
      </c>
      <c r="D5" s="5">
        <v>1</v>
      </c>
      <c r="E5" s="5">
        <v>0</v>
      </c>
      <c r="F5" s="5">
        <v>0</v>
      </c>
      <c r="G5" s="5">
        <f t="shared" si="0"/>
        <v>1</v>
      </c>
      <c r="H5" s="5">
        <v>4</v>
      </c>
      <c r="I5" s="5">
        <v>11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39.75" customHeight="1" x14ac:dyDescent="0.3">
      <c r="A6" s="4" t="s">
        <v>15</v>
      </c>
      <c r="B6" s="5" t="s">
        <v>17</v>
      </c>
      <c r="C6" s="5">
        <v>0</v>
      </c>
      <c r="D6" s="5">
        <v>1</v>
      </c>
      <c r="E6" s="5">
        <v>0</v>
      </c>
      <c r="F6" s="5">
        <v>0</v>
      </c>
      <c r="G6" s="5">
        <f t="shared" si="0"/>
        <v>1</v>
      </c>
      <c r="H6" s="5">
        <v>4</v>
      </c>
      <c r="I6" s="5">
        <v>16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s="2" customFormat="1" ht="39.75" customHeight="1" x14ac:dyDescent="0.3">
      <c r="A7" s="4" t="s">
        <v>18</v>
      </c>
      <c r="B7" s="5" t="s">
        <v>19</v>
      </c>
      <c r="C7" s="5">
        <v>0</v>
      </c>
      <c r="D7" s="5">
        <v>1</v>
      </c>
      <c r="E7" s="5">
        <v>1</v>
      </c>
      <c r="F7" s="5">
        <v>1</v>
      </c>
      <c r="G7" s="5">
        <f t="shared" si="0"/>
        <v>3</v>
      </c>
      <c r="H7" s="5">
        <v>2</v>
      </c>
      <c r="I7" s="5">
        <v>8</v>
      </c>
    </row>
    <row r="8" spans="1:21" ht="39.75" customHeight="1" x14ac:dyDescent="0.3">
      <c r="A8" s="5" t="s">
        <v>19</v>
      </c>
      <c r="B8" s="5" t="s">
        <v>20</v>
      </c>
      <c r="C8" s="5">
        <v>0</v>
      </c>
      <c r="D8" s="5">
        <v>1</v>
      </c>
      <c r="E8" s="5">
        <v>1</v>
      </c>
      <c r="F8" s="5">
        <v>1</v>
      </c>
      <c r="G8" s="5">
        <f t="shared" si="0"/>
        <v>3</v>
      </c>
      <c r="H8" s="5">
        <v>2</v>
      </c>
      <c r="I8" s="5">
        <v>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39.75" customHeight="1" x14ac:dyDescent="0.3">
      <c r="A9" s="5" t="s">
        <v>20</v>
      </c>
      <c r="B9" s="5" t="s">
        <v>21</v>
      </c>
      <c r="C9" s="5">
        <v>0</v>
      </c>
      <c r="D9" s="5">
        <v>0</v>
      </c>
      <c r="E9" s="5">
        <v>1</v>
      </c>
      <c r="F9" s="5">
        <v>0</v>
      </c>
      <c r="G9" s="5">
        <f t="shared" si="0"/>
        <v>1</v>
      </c>
      <c r="H9" s="5">
        <v>3</v>
      </c>
      <c r="I9" s="5">
        <v>12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39.75" customHeight="1" x14ac:dyDescent="0.3">
      <c r="A10" s="5" t="s">
        <v>20</v>
      </c>
      <c r="B10" s="5" t="s">
        <v>22</v>
      </c>
      <c r="C10" s="5">
        <v>0</v>
      </c>
      <c r="D10" s="5">
        <v>0</v>
      </c>
      <c r="E10" s="5">
        <v>0</v>
      </c>
      <c r="F10" s="5">
        <v>1</v>
      </c>
      <c r="G10" s="5">
        <f t="shared" si="0"/>
        <v>1</v>
      </c>
      <c r="H10" s="5">
        <v>2</v>
      </c>
      <c r="I10" s="5">
        <v>12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39.75" customHeight="1" x14ac:dyDescent="0.3">
      <c r="A11" s="5" t="s">
        <v>22</v>
      </c>
      <c r="B11" s="5" t="s">
        <v>23</v>
      </c>
      <c r="C11" s="5">
        <v>0</v>
      </c>
      <c r="D11" s="5">
        <v>0</v>
      </c>
      <c r="E11" s="5">
        <v>0</v>
      </c>
      <c r="F11" s="5">
        <v>1</v>
      </c>
      <c r="G11" s="5">
        <f t="shared" si="0"/>
        <v>1</v>
      </c>
      <c r="H11" s="5">
        <v>3</v>
      </c>
      <c r="I11" s="5">
        <v>10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s="2" customFormat="1" ht="39.75" customHeight="1" x14ac:dyDescent="0.3">
      <c r="A12" s="8"/>
      <c r="B12" s="8"/>
      <c r="C12" s="8"/>
      <c r="D12" s="8"/>
      <c r="E12" s="8"/>
      <c r="F12" s="8"/>
      <c r="G12" s="8"/>
      <c r="H12" s="8"/>
      <c r="I12" s="8"/>
    </row>
    <row r="13" spans="1:21" ht="39.7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39.7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39.7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39.7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39.7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AE60B-CDC1-4790-822C-FAA1536BA78B}">
  <dimension ref="A1:O8"/>
  <sheetViews>
    <sheetView tabSelected="1" zoomScale="75" zoomScaleNormal="75" workbookViewId="0">
      <pane ySplit="1" topLeftCell="A2" activePane="bottomLeft" state="frozen"/>
      <selection pane="bottomLeft" activeCell="D8" sqref="D8"/>
    </sheetView>
  </sheetViews>
  <sheetFormatPr defaultColWidth="8.44140625" defaultRowHeight="15.6" x14ac:dyDescent="0.3"/>
  <cols>
    <col min="1" max="1" width="6.44140625" style="6" bestFit="1" customWidth="1"/>
    <col min="2" max="2" width="7.44140625" style="6" bestFit="1" customWidth="1"/>
    <col min="3" max="4" width="5.44140625" style="6" bestFit="1" customWidth="1"/>
    <col min="5" max="5" width="30.6640625" style="6" bestFit="1" customWidth="1"/>
    <col min="6" max="6" width="7" style="6" bestFit="1" customWidth="1"/>
    <col min="7" max="7" width="31.5546875" style="6" bestFit="1" customWidth="1"/>
    <col min="8" max="8" width="8.21875" style="6" bestFit="1" customWidth="1"/>
    <col min="9" max="9" width="39.77734375" style="6" bestFit="1" customWidth="1"/>
    <col min="10" max="16384" width="8.44140625" style="6"/>
  </cols>
  <sheetData>
    <row r="1" spans="1:15" s="7" customFormat="1" x14ac:dyDescent="0.3">
      <c r="A1" s="11" t="s">
        <v>24</v>
      </c>
      <c r="B1" s="11" t="s">
        <v>25</v>
      </c>
      <c r="C1" s="13" t="s">
        <v>28</v>
      </c>
      <c r="D1" s="13"/>
      <c r="E1" s="11" t="s">
        <v>26</v>
      </c>
      <c r="F1" s="11" t="s">
        <v>27</v>
      </c>
      <c r="G1" s="11" t="s">
        <v>29</v>
      </c>
      <c r="H1" s="11" t="s">
        <v>30</v>
      </c>
      <c r="I1" s="11" t="s">
        <v>31</v>
      </c>
      <c r="J1" s="11"/>
      <c r="K1" s="11"/>
      <c r="L1" s="11"/>
      <c r="M1" s="11"/>
      <c r="N1" s="11"/>
      <c r="O1" s="11"/>
    </row>
    <row r="2" spans="1:15" x14ac:dyDescent="0.3">
      <c r="A2" s="9">
        <v>1</v>
      </c>
      <c r="B2" s="10">
        <v>46257</v>
      </c>
      <c r="C2" s="9">
        <v>4450</v>
      </c>
      <c r="D2" s="9">
        <f>C2+250</f>
        <v>4700</v>
      </c>
      <c r="E2" s="9" t="s">
        <v>32</v>
      </c>
      <c r="F2" s="9">
        <v>9</v>
      </c>
      <c r="G2" s="9" t="s">
        <v>33</v>
      </c>
      <c r="H2" s="9">
        <v>2009</v>
      </c>
      <c r="I2" s="9" t="s">
        <v>18</v>
      </c>
    </row>
    <row r="3" spans="1:15" x14ac:dyDescent="0.3">
      <c r="A3" s="9">
        <f t="shared" ref="A3:A8" si="0">A2+1</f>
        <v>2</v>
      </c>
      <c r="B3" s="10">
        <f t="shared" ref="B3:B8" si="1">B2+7</f>
        <v>46264</v>
      </c>
      <c r="C3" s="9">
        <f t="shared" ref="C3:C8" si="2">D2</f>
        <v>4700</v>
      </c>
      <c r="D3" s="9">
        <f>C3+250</f>
        <v>4950</v>
      </c>
      <c r="E3" s="9" t="s">
        <v>32</v>
      </c>
      <c r="F3" s="9">
        <v>10</v>
      </c>
      <c r="G3" s="9" t="s">
        <v>34</v>
      </c>
      <c r="H3" s="9">
        <v>2010</v>
      </c>
      <c r="I3" s="9" t="s">
        <v>18</v>
      </c>
    </row>
    <row r="4" spans="1:15" x14ac:dyDescent="0.3">
      <c r="A4" s="9">
        <f t="shared" si="0"/>
        <v>3</v>
      </c>
      <c r="B4" s="10">
        <f t="shared" si="1"/>
        <v>46271</v>
      </c>
      <c r="C4" s="9">
        <f t="shared" si="2"/>
        <v>4950</v>
      </c>
      <c r="D4" s="9">
        <v>4150</v>
      </c>
      <c r="E4" s="9" t="s">
        <v>32</v>
      </c>
      <c r="F4" s="9">
        <v>11</v>
      </c>
      <c r="G4" s="9" t="s">
        <v>35</v>
      </c>
      <c r="H4" s="9">
        <v>2011</v>
      </c>
      <c r="I4" s="9" t="s">
        <v>36</v>
      </c>
    </row>
    <row r="5" spans="1:15" x14ac:dyDescent="0.3">
      <c r="A5" s="9">
        <f t="shared" si="0"/>
        <v>4</v>
      </c>
      <c r="B5" s="10">
        <f t="shared" si="1"/>
        <v>46278</v>
      </c>
      <c r="C5" s="9">
        <f t="shared" si="2"/>
        <v>4150</v>
      </c>
      <c r="D5" s="9">
        <f>C5+250</f>
        <v>4400</v>
      </c>
      <c r="E5" s="9" t="s">
        <v>32</v>
      </c>
      <c r="F5" s="9">
        <v>12</v>
      </c>
      <c r="G5" s="9" t="s">
        <v>37</v>
      </c>
      <c r="H5" s="9">
        <v>2012</v>
      </c>
      <c r="I5" s="9" t="s">
        <v>18</v>
      </c>
    </row>
    <row r="6" spans="1:15" x14ac:dyDescent="0.3">
      <c r="A6" s="9">
        <f t="shared" si="0"/>
        <v>5</v>
      </c>
      <c r="B6" s="10">
        <f t="shared" si="1"/>
        <v>46285</v>
      </c>
      <c r="C6" s="9">
        <f t="shared" si="2"/>
        <v>4400</v>
      </c>
      <c r="D6" s="9">
        <f>C6+250</f>
        <v>4650</v>
      </c>
      <c r="E6" s="9" t="s">
        <v>32</v>
      </c>
      <c r="F6" s="9">
        <v>13</v>
      </c>
      <c r="G6" s="9" t="s">
        <v>38</v>
      </c>
      <c r="H6" s="9">
        <v>2013</v>
      </c>
      <c r="I6" s="9" t="s">
        <v>18</v>
      </c>
    </row>
    <row r="7" spans="1:15" x14ac:dyDescent="0.3">
      <c r="A7" s="9">
        <f t="shared" si="0"/>
        <v>6</v>
      </c>
      <c r="B7" s="10">
        <f t="shared" si="1"/>
        <v>46292</v>
      </c>
      <c r="C7" s="9">
        <f t="shared" si="2"/>
        <v>4650</v>
      </c>
      <c r="D7" s="9">
        <f>C7+150</f>
        <v>4800</v>
      </c>
      <c r="E7" s="9" t="s">
        <v>32</v>
      </c>
      <c r="F7" s="9">
        <v>14</v>
      </c>
      <c r="G7" s="9" t="s">
        <v>39</v>
      </c>
      <c r="H7" s="9">
        <v>2014</v>
      </c>
      <c r="I7" s="9" t="s">
        <v>40</v>
      </c>
    </row>
    <row r="8" spans="1:15" x14ac:dyDescent="0.3">
      <c r="A8" s="9">
        <f t="shared" si="0"/>
        <v>7</v>
      </c>
      <c r="B8" s="10">
        <f t="shared" si="1"/>
        <v>46299</v>
      </c>
      <c r="C8" s="9">
        <f t="shared" si="2"/>
        <v>4800</v>
      </c>
      <c r="D8" s="6">
        <f>C8+200</f>
        <v>5000</v>
      </c>
      <c r="E8" s="9" t="s">
        <v>32</v>
      </c>
      <c r="F8" s="9">
        <v>15</v>
      </c>
      <c r="G8" s="9" t="s">
        <v>41</v>
      </c>
      <c r="H8" s="9">
        <v>2015</v>
      </c>
      <c r="I8" s="9" t="s">
        <v>42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DataCamp</vt:lpstr>
      <vt:lpstr>Calendar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JUSTINSA1</dc:creator>
  <cp:keywords/>
  <dc:description/>
  <cp:lastModifiedBy>JUSTINSA1</cp:lastModifiedBy>
  <cp:revision/>
  <dcterms:created xsi:type="dcterms:W3CDTF">2025-04-15T13:52:29Z</dcterms:created>
  <dcterms:modified xsi:type="dcterms:W3CDTF">2026-10-06T22:00:08Z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981364-f692-4f2a-9ce2-d46e8624bdb4_Enabled">
    <vt:lpwstr>true</vt:lpwstr>
  </property>
  <property fmtid="{D5CDD505-2E9C-101B-9397-08002B2CF9AE}" pid="3" name="MSIP_Label_51981364-f692-4f2a-9ce2-d46e8624bdb4_SetDate">
    <vt:lpwstr>2025-04-16T17:34:29Z</vt:lpwstr>
  </property>
  <property fmtid="{D5CDD505-2E9C-101B-9397-08002B2CF9AE}" pid="4" name="MSIP_Label_51981364-f692-4f2a-9ce2-d46e8624bdb4_Method">
    <vt:lpwstr>Privileged</vt:lpwstr>
  </property>
  <property fmtid="{D5CDD505-2E9C-101B-9397-08002B2CF9AE}" pid="5" name="MSIP_Label_51981364-f692-4f2a-9ce2-d46e8624bdb4_Name">
    <vt:lpwstr>U</vt:lpwstr>
  </property>
  <property fmtid="{D5CDD505-2E9C-101B-9397-08002B2CF9AE}" pid="6" name="MSIP_Label_51981364-f692-4f2a-9ce2-d46e8624bdb4_SiteId">
    <vt:lpwstr>035b7643-ee5c-4d58-bfad-16b0130d08ed</vt:lpwstr>
  </property>
  <property fmtid="{D5CDD505-2E9C-101B-9397-08002B2CF9AE}" pid="7" name="MSIP_Label_51981364-f692-4f2a-9ce2-d46e8624bdb4_ActionId">
    <vt:lpwstr>98eb85c6-6099-4766-9aa4-e7b25521efef</vt:lpwstr>
  </property>
  <property fmtid="{D5CDD505-2E9C-101B-9397-08002B2CF9AE}" pid="8" name="MSIP_Label_51981364-f692-4f2a-9ce2-d46e8624bdb4_ContentBits">
    <vt:lpwstr>3</vt:lpwstr>
  </property>
  <property fmtid="{D5CDD505-2E9C-101B-9397-08002B2CF9AE}" pid="9" name="MSIP_Label_51981364-f692-4f2a-9ce2-d46e8624bdb4_Tag">
    <vt:lpwstr>10, 0, 1, 2</vt:lpwstr>
  </property>
</Properties>
</file>